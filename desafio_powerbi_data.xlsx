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Chamados por Tipo" sheetId="2" state="visible" r:id="rId2"/>
    <sheet xmlns:r="http://schemas.openxmlformats.org/officeDocument/2006/relationships" name="Bairros e Subprefeituras" sheetId="3" state="visible" r:id="rId3"/>
    <sheet xmlns:r="http://schemas.openxmlformats.org/officeDocument/2006/relationships" name="Grandes Eventos" sheetId="4" state="visible" r:id="rId4"/>
    <sheet xmlns:r="http://schemas.openxmlformats.org/officeDocument/2006/relationships" name="Temperatura Mensal" sheetId="5" state="visible" r:id="rId5"/>
    <sheet xmlns:r="http://schemas.openxmlformats.org/officeDocument/2006/relationships" name="Feriados 202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;0.0%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361EE"/>
      <sz val="11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555555"/>
      <sz val="10"/>
    </font>
    <font>
      <name val="Arial"/>
      <b val="1"/>
      <color rgb="00721C24"/>
      <sz val="10"/>
    </font>
    <font>
      <name val="Arial"/>
      <b val="1"/>
      <color rgb="00155724"/>
      <sz val="10"/>
    </font>
  </fonts>
  <fills count="12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4361EE"/>
      </patternFill>
    </fill>
    <fill>
      <patternFill patternType="solid">
        <fgColor rgb="002D3A8C"/>
      </patternFill>
    </fill>
    <fill>
      <patternFill patternType="solid">
        <fgColor rgb="00F4F6FA"/>
      </patternFill>
    </fill>
    <fill>
      <patternFill patternType="solid">
        <fgColor rgb="00FFFFFF"/>
      </patternFill>
    </fill>
    <fill>
      <patternFill patternType="solid">
        <fgColor rgb="00D6E4FF"/>
      </patternFill>
    </fill>
    <fill>
      <patternFill patternType="solid">
        <fgColor rgb="002DC653"/>
      </patternFill>
    </fill>
    <fill>
      <patternFill patternType="solid">
        <fgColor rgb="00E63946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indent="1"/>
    </xf>
    <xf numFmtId="0" fontId="4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0" fillId="5" borderId="0" pivotButton="0" quotePrefix="0" xfId="0"/>
    <xf numFmtId="0" fontId="5" fillId="6" borderId="1" pivotButton="0" quotePrefix="0" xfId="0"/>
    <xf numFmtId="0" fontId="6" fillId="6" borderId="1" applyAlignment="1" pivotButton="0" quotePrefix="0" xfId="0">
      <alignment horizontal="center"/>
    </xf>
    <xf numFmtId="0" fontId="7" fillId="6" borderId="1" pivotButton="0" quotePrefix="0" xfId="0"/>
    <xf numFmtId="0" fontId="0" fillId="6" borderId="0" pivotButton="0" quotePrefix="0" xfId="0"/>
    <xf numFmtId="0" fontId="8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6" fillId="7" borderId="1" pivotButton="0" quotePrefix="0" xfId="0"/>
    <xf numFmtId="0" fontId="6" fillId="7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6" fillId="5" borderId="1" pivotButton="0" quotePrefix="0" xfId="0"/>
    <xf numFmtId="2" fontId="0" fillId="5" borderId="1" applyAlignment="1" pivotButton="0" quotePrefix="0" xfId="0">
      <alignment horizontal="center"/>
    </xf>
    <xf numFmtId="165" fontId="9" fillId="8" borderId="1" applyAlignment="1" pivotButton="0" quotePrefix="0" xfId="0">
      <alignment horizontal="center"/>
    </xf>
    <xf numFmtId="0" fontId="6" fillId="6" borderId="1" pivotButton="0" quotePrefix="0" xfId="0"/>
    <xf numFmtId="2" fontId="0" fillId="6" borderId="1" applyAlignment="1" pivotButton="0" quotePrefix="0" xfId="0">
      <alignment horizontal="center"/>
    </xf>
    <xf numFmtId="165" fontId="9" fillId="9" borderId="1" applyAlignment="1" pivotButton="0" quotePrefix="0" xfId="0">
      <alignment horizontal="center"/>
    </xf>
    <xf numFmtId="0" fontId="10" fillId="7" borderId="0" pivotButton="0" quotePrefix="0" xfId="0"/>
    <xf numFmtId="166" fontId="6" fillId="5" borderId="1" applyAlignment="1" pivotButton="0" quotePrefix="0" xfId="0">
      <alignment horizontal="center"/>
    </xf>
    <xf numFmtId="166" fontId="6" fillId="6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/>
    </xf>
    <xf numFmtId="0" fontId="12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45" customWidth="1" min="3" max="3"/>
    <col width="10" customWidth="1" min="4" max="4"/>
    <col width="10" customWidth="1" min="5" max="5"/>
    <col width="10" customWidth="1" min="6" max="6"/>
  </cols>
  <sheetData>
    <row r="1" ht="32" customHeight="1">
      <c r="A1" s="1" t="inlineStr">
        <is>
          <t>DESAFIO TÉCNICO — ANALISTA DE DADOS | Prefeitura do Rio de Janeiro 2026</t>
        </is>
      </c>
    </row>
    <row r="2">
      <c r="A2" s="2" t="inlineStr">
        <is>
          <t>Secretaria da Casa Civil — Escritório de Monitoramento de Projetos e Metas</t>
        </is>
      </c>
    </row>
    <row r="4">
      <c r="A4" s="3" t="inlineStr">
        <is>
          <t>PARTE 1 — Chamados do 1746 em 01/04/2023</t>
        </is>
      </c>
    </row>
    <row r="5">
      <c r="A5" s="4" t="inlineStr">
        <is>
          <t>Indicador</t>
        </is>
      </c>
      <c r="B5" s="4" t="inlineStr">
        <is>
          <t>Valor</t>
        </is>
      </c>
      <c r="C5" s="4" t="inlineStr">
        <is>
          <t>Observação</t>
        </is>
      </c>
    </row>
    <row r="6">
      <c r="A6" s="5" t="inlineStr">
        <is>
          <t>Total de chamados abertos</t>
        </is>
      </c>
      <c r="B6" s="6" t="inlineStr">
        <is>
          <t>2.067</t>
        </is>
      </c>
      <c r="C6" s="7" t="inlineStr">
        <is>
          <t>Registros em 01/04/2023</t>
        </is>
      </c>
      <c r="D6" s="8" t="n"/>
      <c r="E6" s="8" t="n"/>
      <c r="F6" s="8" t="n"/>
    </row>
    <row r="7">
      <c r="A7" s="9" t="inlineStr">
        <is>
          <t>Tipo mais frequente</t>
        </is>
      </c>
      <c r="B7" s="10" t="inlineStr">
        <is>
          <t>Estacionamento irregular</t>
        </is>
      </c>
      <c r="C7" s="11" t="inlineStr">
        <is>
          <t>373 chamados (18% do total)</t>
        </is>
      </c>
      <c r="D7" s="12" t="n"/>
      <c r="E7" s="12" t="n"/>
      <c r="F7" s="12" t="n"/>
    </row>
    <row r="8">
      <c r="A8" s="5" t="inlineStr">
        <is>
          <t>1º Bairro (mais chamados)</t>
        </is>
      </c>
      <c r="B8" s="6" t="inlineStr">
        <is>
          <t>Campo Grande</t>
        </is>
      </c>
      <c r="C8" s="7" t="inlineStr">
        <is>
          <t>125 chamados</t>
        </is>
      </c>
      <c r="D8" s="8" t="n"/>
      <c r="E8" s="8" t="n"/>
      <c r="F8" s="8" t="n"/>
    </row>
    <row r="9">
      <c r="A9" s="9" t="inlineStr">
        <is>
          <t>2º Bairro</t>
        </is>
      </c>
      <c r="B9" s="10" t="inlineStr">
        <is>
          <t>Tijuca</t>
        </is>
      </c>
      <c r="C9" s="11" t="inlineStr">
        <is>
          <t>100 chamados</t>
        </is>
      </c>
      <c r="D9" s="12" t="n"/>
      <c r="E9" s="12" t="n"/>
      <c r="F9" s="12" t="n"/>
    </row>
    <row r="10">
      <c r="A10" s="5" t="inlineStr">
        <is>
          <t>3º Bairro</t>
        </is>
      </c>
      <c r="B10" s="6" t="inlineStr">
        <is>
          <t>Barra da Tijuca</t>
        </is>
      </c>
      <c r="C10" s="7" t="inlineStr">
        <is>
          <t>62 chamados</t>
        </is>
      </c>
      <c r="D10" s="8" t="n"/>
      <c r="E10" s="8" t="n"/>
      <c r="F10" s="8" t="n"/>
    </row>
    <row r="11">
      <c r="A11" s="9" t="inlineStr">
        <is>
          <t>Subprefeitura líder</t>
        </is>
      </c>
      <c r="B11" s="10" t="inlineStr">
        <is>
          <t>Subprefeitura da Zona Norte</t>
        </is>
      </c>
      <c r="C11" s="11" t="inlineStr">
        <is>
          <t>526 chamados</t>
        </is>
      </c>
      <c r="D11" s="12" t="n"/>
      <c r="E11" s="12" t="n"/>
      <c r="F11" s="12" t="n"/>
    </row>
    <row r="12">
      <c r="A12" s="5" t="inlineStr">
        <is>
          <t>Chamados sem bairro</t>
        </is>
      </c>
      <c r="B12" s="6" t="inlineStr">
        <is>
          <t>260</t>
        </is>
      </c>
      <c r="C12" s="7" t="inlineStr">
        <is>
          <t>id_bairro NULL — sem geolocalização</t>
        </is>
      </c>
      <c r="D12" s="8" t="n"/>
      <c r="E12" s="8" t="n"/>
      <c r="F12" s="8" t="n"/>
    </row>
    <row r="14">
      <c r="A14" s="3" t="inlineStr">
        <is>
          <t>PARTE 2 — Perturbação do Sossego em Grandes Eventos (2022–2024)</t>
        </is>
      </c>
    </row>
    <row r="15">
      <c r="A15" s="4" t="inlineStr">
        <is>
          <t>Indicador</t>
        </is>
      </c>
      <c r="B15" s="4" t="inlineStr">
        <is>
          <t>Valor</t>
        </is>
      </c>
      <c r="C15" s="4" t="inlineStr">
        <is>
          <t>Observação</t>
        </is>
      </c>
    </row>
    <row r="16">
      <c r="A16" s="5" t="inlineStr">
        <is>
          <t>Total de chamados (2022–2024)</t>
        </is>
      </c>
      <c r="B16" s="6" t="inlineStr">
        <is>
          <t>57.532</t>
        </is>
      </c>
      <c r="C16" s="7" t="inlineStr">
        <is>
          <t>Subtipo 5071 — Perturbação do sossego</t>
        </is>
      </c>
      <c r="D16" s="8" t="n"/>
      <c r="E16" s="8" t="n"/>
      <c r="F16" s="8" t="n"/>
    </row>
    <row r="17">
      <c r="A17" s="9" t="inlineStr">
        <is>
          <t>Média diária geral</t>
        </is>
      </c>
      <c r="B17" s="10" t="inlineStr">
        <is>
          <t>52,49 chamados/dia</t>
        </is>
      </c>
      <c r="C17" s="11" t="inlineStr">
        <is>
          <t>Período jan/2022 a dez/2024</t>
        </is>
      </c>
      <c r="D17" s="12" t="n"/>
      <c r="E17" s="12" t="n"/>
      <c r="F17" s="12" t="n"/>
    </row>
    <row r="18">
      <c r="A18" s="5" t="inlineStr">
        <is>
          <t>Evento c/ mais chamados</t>
        </is>
      </c>
      <c r="B18" s="6" t="inlineStr">
        <is>
          <t>Rock in Rio (08–11/09/2022)</t>
        </is>
      </c>
      <c r="C18" s="7" t="inlineStr">
        <is>
          <t>557 chamados em 4 dias</t>
        </is>
      </c>
      <c r="D18" s="8" t="n"/>
      <c r="E18" s="8" t="n"/>
      <c r="F18" s="8" t="n"/>
    </row>
    <row r="19">
      <c r="A19" s="9" t="inlineStr">
        <is>
          <t>Evento c/ maior média diária</t>
        </is>
      </c>
      <c r="B19" s="10" t="inlineStr">
        <is>
          <t>Rock in Rio (08–11/09/2022)</t>
        </is>
      </c>
      <c r="C19" s="11" t="inlineStr">
        <is>
          <t>139,25 chamados/dia (+165,3%)</t>
        </is>
      </c>
      <c r="D19" s="12" t="n"/>
      <c r="E19" s="12" t="n"/>
      <c r="F19" s="12" t="n"/>
    </row>
    <row r="20">
      <c r="A20" s="5" t="inlineStr">
        <is>
          <t>Rock in Rio 1ª edição (02–04/09)</t>
        </is>
      </c>
      <c r="B20" s="6" t="inlineStr">
        <is>
          <t>401 chamados</t>
        </is>
      </c>
      <c r="C20" s="7" t="inlineStr">
        <is>
          <t>133,67/dia (+154,6%)</t>
        </is>
      </c>
      <c r="D20" s="8" t="n"/>
      <c r="E20" s="8" t="n"/>
      <c r="F20" s="8" t="n"/>
    </row>
    <row r="21">
      <c r="A21" s="9" t="inlineStr">
        <is>
          <t>Carnaval 2023 (18–21/02)</t>
        </is>
      </c>
      <c r="B21" s="10" t="inlineStr">
        <is>
          <t>255 chamados</t>
        </is>
      </c>
      <c r="C21" s="11" t="inlineStr">
        <is>
          <t>63,75/dia (+21,4%)</t>
        </is>
      </c>
      <c r="D21" s="12" t="n"/>
      <c r="E21" s="12" t="n"/>
      <c r="F21" s="12" t="n"/>
    </row>
    <row r="22">
      <c r="A22" s="5" t="inlineStr">
        <is>
          <t>Réveillon 2022/23 (30/12–01/01)</t>
        </is>
      </c>
      <c r="B22" s="6" t="inlineStr">
        <is>
          <t>152 chamados</t>
        </is>
      </c>
      <c r="C22" s="7" t="inlineStr">
        <is>
          <t>50,67/dia (−3,5% vs média geral)</t>
        </is>
      </c>
      <c r="D22" s="8" t="n"/>
      <c r="E22" s="8" t="n"/>
      <c r="F22" s="8" t="n"/>
    </row>
    <row r="24">
      <c r="A24" s="3" t="inlineStr">
        <is>
          <t>PARTE 3 — Feriados &amp; Clima Rio de Janeiro 2024</t>
        </is>
      </c>
    </row>
    <row r="25">
      <c r="A25" s="4" t="inlineStr">
        <is>
          <t>Indicador</t>
        </is>
      </c>
      <c r="B25" s="4" t="inlineStr">
        <is>
          <t>Valor</t>
        </is>
      </c>
      <c r="C25" s="4" t="inlineStr">
        <is>
          <t>Observação</t>
        </is>
      </c>
    </row>
    <row r="26">
      <c r="A26" s="5" t="inlineStr">
        <is>
          <t>Total de feriados em 2024</t>
        </is>
      </c>
      <c r="B26" s="6" t="inlineStr">
        <is>
          <t>15</t>
        </is>
      </c>
      <c r="C26" s="7" t="inlineStr">
        <is>
          <t>Feriados nacionais — Brasil</t>
        </is>
      </c>
      <c r="D26" s="8" t="n"/>
      <c r="E26" s="8" t="n"/>
      <c r="F26" s="8" t="n"/>
    </row>
    <row r="27">
      <c r="A27" s="9" t="inlineStr">
        <is>
          <t>Mês com mais feriados</t>
        </is>
      </c>
      <c r="B27" s="10" t="inlineStr">
        <is>
          <t>Novembro</t>
        </is>
      </c>
      <c r="C27" s="11" t="inlineStr">
        <is>
          <t>3 feriados (Finados, Rep., Consciência Negra)</t>
        </is>
      </c>
      <c r="D27" s="12" t="n"/>
      <c r="E27" s="12" t="n"/>
      <c r="F27" s="12" t="n"/>
    </row>
    <row r="28">
      <c r="A28" s="5" t="inlineStr">
        <is>
          <t>Feriados em dias úteis</t>
        </is>
      </c>
      <c r="B28" s="6" t="inlineStr">
        <is>
          <t>10</t>
        </is>
      </c>
      <c r="C28" s="7" t="inlineStr">
        <is>
          <t>Segunda a sexta-feira</t>
        </is>
      </c>
      <c r="D28" s="8" t="n"/>
      <c r="E28" s="8" t="n"/>
      <c r="F28" s="8" t="n"/>
    </row>
    <row r="29">
      <c r="A29" s="9" t="inlineStr">
        <is>
          <t>Feriados não aproveitáveis (jan–ago)</t>
        </is>
      </c>
      <c r="B29" s="10" t="inlineStr">
        <is>
          <t>8</t>
        </is>
      </c>
      <c r="C29" s="11" t="inlineStr">
        <is>
          <t>Temp. &lt; 20°C ou tempo ruim</t>
        </is>
      </c>
      <c r="D29" s="12" t="n"/>
      <c r="E29" s="12" t="n"/>
      <c r="F29" s="12" t="n"/>
    </row>
    <row r="30">
      <c r="A30" s="5" t="inlineStr">
        <is>
          <t>Feriado mais aproveitável</t>
        </is>
      </c>
      <c r="B30" s="6" t="inlineStr">
        <is>
          <t>Dia do Trabalhador (01/05)</t>
        </is>
      </c>
      <c r="C30" s="7" t="inlineStr">
        <is>
          <t>27,3°C — Parcialmente nublado</t>
        </is>
      </c>
      <c r="D30" s="8" t="n"/>
      <c r="E30" s="8" t="n"/>
      <c r="F30" s="8" t="n"/>
    </row>
  </sheetData>
  <mergeCells count="5">
    <mergeCell ref="A24:F24"/>
    <mergeCell ref="A2:F2"/>
    <mergeCell ref="A14:F14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4" customWidth="1" min="3" max="3"/>
  </cols>
  <sheetData>
    <row r="1" ht="28" customHeight="1">
      <c r="A1" s="13" t="inlineStr">
        <is>
          <t>Chamados por Tipo — 01/04/2023</t>
        </is>
      </c>
    </row>
    <row r="2">
      <c r="A2" s="14" t="inlineStr">
        <is>
          <t>Tipo de Chamado</t>
        </is>
      </c>
      <c r="B2" s="14" t="inlineStr">
        <is>
          <t>Total de Chamados</t>
        </is>
      </c>
      <c r="C2" s="14" t="inlineStr">
        <is>
          <t>% do Total</t>
        </is>
      </c>
    </row>
    <row r="3">
      <c r="A3" s="5" t="inlineStr">
        <is>
          <t>Estacionamento irregular</t>
        </is>
      </c>
      <c r="B3" s="15" t="n">
        <v>373</v>
      </c>
      <c r="C3" s="16">
        <f>B3/2067</f>
        <v/>
      </c>
      <c r="D3" s="8" t="n"/>
    </row>
    <row r="4">
      <c r="A4" s="9" t="inlineStr">
        <is>
          <t>Perturbação do Sossego</t>
        </is>
      </c>
      <c r="B4" s="17" t="n">
        <v>310</v>
      </c>
      <c r="C4" s="18">
        <f>B4/2067</f>
        <v/>
      </c>
      <c r="D4" s="12" t="n"/>
    </row>
    <row r="5">
      <c r="A5" s="5" t="inlineStr">
        <is>
          <t>Iluminação Pública</t>
        </is>
      </c>
      <c r="B5" s="15" t="n">
        <v>245</v>
      </c>
      <c r="C5" s="16">
        <f>B5/2067</f>
        <v/>
      </c>
      <c r="D5" s="8" t="n"/>
    </row>
    <row r="6">
      <c r="A6" s="9" t="inlineStr">
        <is>
          <t>Coleta de Lixo</t>
        </is>
      </c>
      <c r="B6" s="17" t="n">
        <v>198</v>
      </c>
      <c r="C6" s="18">
        <f>B6/2067</f>
        <v/>
      </c>
      <c r="D6" s="12" t="n"/>
    </row>
    <row r="7">
      <c r="A7" s="5" t="inlineStr">
        <is>
          <t>Poda de Árvore</t>
        </is>
      </c>
      <c r="B7" s="15" t="n">
        <v>156</v>
      </c>
      <c r="C7" s="16">
        <f>B7/2067</f>
        <v/>
      </c>
      <c r="D7" s="8" t="n"/>
    </row>
    <row r="8">
      <c r="A8" s="9" t="inlineStr">
        <is>
          <t>Buraco na Via</t>
        </is>
      </c>
      <c r="B8" s="17" t="n">
        <v>132</v>
      </c>
      <c r="C8" s="18">
        <f>B8/2067</f>
        <v/>
      </c>
      <c r="D8" s="12" t="n"/>
    </row>
    <row r="9">
      <c r="A9" s="5" t="inlineStr">
        <is>
          <t>Outros</t>
        </is>
      </c>
      <c r="B9" s="15" t="n">
        <v>653</v>
      </c>
      <c r="C9" s="16">
        <f>B9/2067</f>
        <v/>
      </c>
      <c r="D9" s="8" t="n"/>
    </row>
    <row r="10">
      <c r="A10" s="19" t="inlineStr">
        <is>
          <t>TOTAL</t>
        </is>
      </c>
      <c r="B10" s="20">
        <f>SUM(B3:B9)</f>
        <v/>
      </c>
      <c r="C10" s="21">
        <f>SUM(C3:C9)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4" customWidth="1" min="4" max="4"/>
    <col width="26" customWidth="1" min="5" max="5"/>
    <col width="18" customWidth="1" min="6" max="6"/>
    <col width="14" customWidth="1" min="7" max="7"/>
  </cols>
  <sheetData>
    <row r="1" ht="28" customHeight="1">
      <c r="A1" s="13" t="inlineStr">
        <is>
          <t>Top 10 Bairros — 01/04/2023</t>
        </is>
      </c>
      <c r="E1" s="13" t="inlineStr">
        <is>
          <t>Chamados por Subprefeitura</t>
        </is>
      </c>
    </row>
    <row r="2">
      <c r="A2" s="14" t="inlineStr">
        <is>
          <t>Bairro</t>
        </is>
      </c>
      <c r="B2" s="14" t="inlineStr">
        <is>
          <t>Total de Chamados</t>
        </is>
      </c>
      <c r="C2" s="14" t="inlineStr">
        <is>
          <t>Subprefeitura</t>
        </is>
      </c>
      <c r="E2" s="14" t="inlineStr">
        <is>
          <t>Subprefeitura</t>
        </is>
      </c>
      <c r="F2" s="14" t="inlineStr">
        <is>
          <t>Total Chamados</t>
        </is>
      </c>
      <c r="G2" s="14" t="inlineStr">
        <is>
          <t>% do Total</t>
        </is>
      </c>
    </row>
    <row r="3">
      <c r="A3" s="5" t="inlineStr">
        <is>
          <t>Campo Grande</t>
        </is>
      </c>
      <c r="B3" s="15" t="n">
        <v>125</v>
      </c>
      <c r="C3" s="5" t="inlineStr">
        <is>
          <t>Zona Norte</t>
        </is>
      </c>
      <c r="D3" s="8" t="n"/>
      <c r="E3" s="5" t="inlineStr">
        <is>
          <t>Zona Norte</t>
        </is>
      </c>
      <c r="F3" s="15" t="n">
        <v>526</v>
      </c>
      <c r="G3" s="16">
        <f>F3/1906</f>
        <v/>
      </c>
    </row>
    <row r="4">
      <c r="A4" s="9" t="inlineStr">
        <is>
          <t>Tijuca</t>
        </is>
      </c>
      <c r="B4" s="17" t="n">
        <v>100</v>
      </c>
      <c r="C4" s="9" t="inlineStr">
        <is>
          <t>Zona Norte</t>
        </is>
      </c>
      <c r="D4" s="12" t="n"/>
      <c r="E4" s="9" t="inlineStr">
        <is>
          <t>Zona Oeste</t>
        </is>
      </c>
      <c r="F4" s="17" t="n">
        <v>480</v>
      </c>
      <c r="G4" s="18">
        <f>F4/1906</f>
        <v/>
      </c>
    </row>
    <row r="5">
      <c r="A5" s="5" t="inlineStr">
        <is>
          <t>Barra da Tijuca</t>
        </is>
      </c>
      <c r="B5" s="15" t="n">
        <v>62</v>
      </c>
      <c r="C5" s="5" t="inlineStr">
        <is>
          <t>Barra/Jacarepaguá</t>
        </is>
      </c>
      <c r="D5" s="8" t="n"/>
      <c r="E5" s="5" t="inlineStr">
        <is>
          <t>Zona Sul</t>
        </is>
      </c>
      <c r="F5" s="15" t="n">
        <v>310</v>
      </c>
      <c r="G5" s="16">
        <f>F5/1906</f>
        <v/>
      </c>
    </row>
    <row r="6">
      <c r="A6" s="9" t="inlineStr">
        <is>
          <t>Santa Cruz</t>
        </is>
      </c>
      <c r="B6" s="17" t="n">
        <v>55</v>
      </c>
      <c r="C6" s="9" t="inlineStr">
        <is>
          <t>Zona Oeste</t>
        </is>
      </c>
      <c r="D6" s="12" t="n"/>
      <c r="E6" s="9" t="inlineStr">
        <is>
          <t>Centro</t>
        </is>
      </c>
      <c r="F6" s="17" t="n">
        <v>180</v>
      </c>
      <c r="G6" s="18">
        <f>F6/1906</f>
        <v/>
      </c>
    </row>
    <row r="7">
      <c r="A7" s="5" t="inlineStr">
        <is>
          <t>Bangu</t>
        </is>
      </c>
      <c r="B7" s="15" t="n">
        <v>48</v>
      </c>
      <c r="C7" s="5" t="inlineStr">
        <is>
          <t>Zona Oeste</t>
        </is>
      </c>
      <c r="D7" s="8" t="n"/>
      <c r="E7" s="5" t="inlineStr">
        <is>
          <t>Barra/Jacarepaguá</t>
        </is>
      </c>
      <c r="F7" s="15" t="n">
        <v>150</v>
      </c>
      <c r="G7" s="16">
        <f>F7/1906</f>
        <v/>
      </c>
    </row>
    <row r="8">
      <c r="A8" s="9" t="inlineStr">
        <is>
          <t>Botafogo</t>
        </is>
      </c>
      <c r="B8" s="17" t="n">
        <v>42</v>
      </c>
      <c r="C8" s="9" t="inlineStr">
        <is>
          <t>Zona Sul</t>
        </is>
      </c>
      <c r="D8" s="12" t="n"/>
      <c r="E8" s="9" t="inlineStr">
        <is>
          <t>Sem bairro</t>
        </is>
      </c>
      <c r="F8" s="17" t="n">
        <v>260</v>
      </c>
      <c r="G8" s="18">
        <f>F8/1906</f>
        <v/>
      </c>
    </row>
    <row r="9">
      <c r="A9" s="5" t="inlineStr">
        <is>
          <t>Copacabana</t>
        </is>
      </c>
      <c r="B9" s="15" t="n">
        <v>38</v>
      </c>
      <c r="C9" s="5" t="inlineStr">
        <is>
          <t>Zona Sul</t>
        </is>
      </c>
    </row>
    <row r="10">
      <c r="A10" s="9" t="inlineStr">
        <is>
          <t>Centro</t>
        </is>
      </c>
      <c r="B10" s="17" t="n">
        <v>35</v>
      </c>
      <c r="C10" s="9" t="inlineStr">
        <is>
          <t>Centro</t>
        </is>
      </c>
    </row>
    <row r="11">
      <c r="A11" s="5" t="inlineStr">
        <is>
          <t>Madureira</t>
        </is>
      </c>
      <c r="B11" s="15" t="n">
        <v>32</v>
      </c>
      <c r="C11" s="5" t="inlineStr">
        <is>
          <t>Zona Norte</t>
        </is>
      </c>
    </row>
    <row r="12">
      <c r="A12" s="9" t="inlineStr">
        <is>
          <t>Jacarepaguá</t>
        </is>
      </c>
      <c r="B12" s="17" t="n">
        <v>30</v>
      </c>
      <c r="C12" s="9" t="inlineStr">
        <is>
          <t>Barra/Jacarepaguá</t>
        </is>
      </c>
    </row>
  </sheetData>
  <mergeCells count="2">
    <mergeCell ref="A1:C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6" customWidth="1" min="4" max="4"/>
    <col width="17" customWidth="1" min="5" max="5"/>
    <col width="16" customWidth="1" min="6" max="6"/>
    <col width="16" customWidth="1" min="7" max="7"/>
    <col width="14" customWidth="1" min="8" max="8"/>
  </cols>
  <sheetData>
    <row r="1" ht="28" customHeight="1">
      <c r="A1" s="13" t="inlineStr">
        <is>
          <t>Perturbação do Sossego em Grandes Eventos — 2022 a 2024</t>
        </is>
      </c>
    </row>
    <row r="2">
      <c r="A2" s="14" t="inlineStr">
        <is>
          <t>Evento</t>
        </is>
      </c>
      <c r="B2" s="14" t="inlineStr">
        <is>
          <t>Data Início</t>
        </is>
      </c>
      <c r="C2" s="14" t="inlineStr">
        <is>
          <t>Data Fim</t>
        </is>
      </c>
      <c r="D2" s="14" t="inlineStr">
        <is>
          <t>Duração (dias)</t>
        </is>
      </c>
      <c r="E2" s="14" t="inlineStr">
        <is>
          <t>Total Chamados</t>
        </is>
      </c>
      <c r="F2" s="14" t="inlineStr">
        <is>
          <t>Média Diária</t>
        </is>
      </c>
      <c r="G2" s="14" t="inlineStr">
        <is>
          <t>Média Geral</t>
        </is>
      </c>
      <c r="H2" s="14" t="inlineStr">
        <is>
          <t>Variação %</t>
        </is>
      </c>
    </row>
    <row r="3">
      <c r="A3" s="22" t="inlineStr">
        <is>
          <t>Rock in Rio (2ª edição)</t>
        </is>
      </c>
      <c r="B3" s="15" t="inlineStr">
        <is>
          <t>08/09/2022</t>
        </is>
      </c>
      <c r="C3" s="15" t="inlineStr">
        <is>
          <t>11/09/2022</t>
        </is>
      </c>
      <c r="D3" s="15" t="n">
        <v>4</v>
      </c>
      <c r="E3" s="15" t="n">
        <v>557</v>
      </c>
      <c r="F3" s="23">
        <f>E3/D3</f>
        <v/>
      </c>
      <c r="G3" s="23" t="n">
        <v>52.49</v>
      </c>
      <c r="H3" s="24">
        <f>(F3/G3-1)</f>
        <v/>
      </c>
    </row>
    <row r="4">
      <c r="A4" s="25" t="inlineStr">
        <is>
          <t>Rock in Rio (1ª edição)</t>
        </is>
      </c>
      <c r="B4" s="17" t="inlineStr">
        <is>
          <t>02/09/2022</t>
        </is>
      </c>
      <c r="C4" s="17" t="inlineStr">
        <is>
          <t>04/09/2022</t>
        </is>
      </c>
      <c r="D4" s="17" t="n">
        <v>3</v>
      </c>
      <c r="E4" s="17" t="n">
        <v>401</v>
      </c>
      <c r="F4" s="26">
        <f>E4/D4</f>
        <v/>
      </c>
      <c r="G4" s="26" t="n">
        <v>52.49</v>
      </c>
      <c r="H4" s="24">
        <f>(F4/G4-1)</f>
        <v/>
      </c>
    </row>
    <row r="5">
      <c r="A5" s="22" t="inlineStr">
        <is>
          <t>Carnaval 2023</t>
        </is>
      </c>
      <c r="B5" s="15" t="inlineStr">
        <is>
          <t>18/02/2023</t>
        </is>
      </c>
      <c r="C5" s="15" t="inlineStr">
        <is>
          <t>21/02/2023</t>
        </is>
      </c>
      <c r="D5" s="15" t="n">
        <v>4</v>
      </c>
      <c r="E5" s="15" t="n">
        <v>255</v>
      </c>
      <c r="F5" s="23">
        <f>E5/D5</f>
        <v/>
      </c>
      <c r="G5" s="23" t="n">
        <v>52.49</v>
      </c>
      <c r="H5" s="24">
        <f>(F5/G5-1)</f>
        <v/>
      </c>
    </row>
    <row r="6">
      <c r="A6" s="25" t="inlineStr">
        <is>
          <t>Réveillon 2022/2023</t>
        </is>
      </c>
      <c r="B6" s="17" t="inlineStr">
        <is>
          <t>30/12/2022</t>
        </is>
      </c>
      <c r="C6" s="17" t="inlineStr">
        <is>
          <t>01/01/2023</t>
        </is>
      </c>
      <c r="D6" s="17" t="n">
        <v>3</v>
      </c>
      <c r="E6" s="17" t="n">
        <v>152</v>
      </c>
      <c r="F6" s="26">
        <f>E6/D6</f>
        <v/>
      </c>
      <c r="G6" s="26" t="n">
        <v>52.49</v>
      </c>
      <c r="H6" s="27">
        <f>(F6/G6-1)</f>
        <v/>
      </c>
    </row>
    <row r="8">
      <c r="A8" s="28" t="inlineStr">
        <is>
          <t>Total de chamados de Perturbação do Sossego (2022–2024): 57.532</t>
        </is>
      </c>
    </row>
  </sheetData>
  <mergeCells count="2">
    <mergeCell ref="A8:H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4" customWidth="1" min="4" max="4"/>
    <col width="20" customWidth="1" min="5" max="5"/>
  </cols>
  <sheetData>
    <row r="1" ht="28" customHeight="1">
      <c r="A1" s="13" t="inlineStr">
        <is>
          <t>Temperatura Média Mensal — Rio de Janeiro (jan–ago 2024)</t>
        </is>
      </c>
    </row>
    <row r="2">
      <c r="A2" s="14" t="inlineStr">
        <is>
          <t>Mês</t>
        </is>
      </c>
      <c r="B2" s="14" t="inlineStr">
        <is>
          <t>Temp. Média (°C)</t>
        </is>
      </c>
      <c r="C2" s="14" t="inlineStr">
        <is>
          <t>Tempo Predominante</t>
        </is>
      </c>
      <c r="D2" s="14" t="inlineStr">
        <is>
          <t>Código WMO</t>
        </is>
      </c>
      <c r="E2" s="14" t="inlineStr">
        <is>
          <t>Obs.</t>
        </is>
      </c>
    </row>
    <row r="3">
      <c r="A3" s="5" t="inlineStr">
        <is>
          <t>Janeiro</t>
        </is>
      </c>
      <c r="B3" s="29" t="n">
        <v>26.1</v>
      </c>
      <c r="C3" s="5" t="inlineStr">
        <is>
          <t>Totalmente nublado</t>
        </is>
      </c>
      <c r="D3" s="15" t="n">
        <v>3</v>
      </c>
      <c r="E3" s="7" t="inlineStr">
        <is>
          <t>Verão intenso</t>
        </is>
      </c>
    </row>
    <row r="4">
      <c r="A4" s="9" t="inlineStr">
        <is>
          <t>Fevereiro</t>
        </is>
      </c>
      <c r="B4" s="30" t="n">
        <v>27.1</v>
      </c>
      <c r="C4" s="9" t="inlineStr">
        <is>
          <t>Totalmente nublado</t>
        </is>
      </c>
      <c r="D4" s="17" t="n">
        <v>3</v>
      </c>
      <c r="E4" s="11" t="inlineStr">
        <is>
          <t>Mês mais quente</t>
        </is>
      </c>
    </row>
    <row r="5">
      <c r="A5" s="5" t="inlineStr">
        <is>
          <t>Março</t>
        </is>
      </c>
      <c r="B5" s="29" t="n">
        <v>26.5</v>
      </c>
      <c r="C5" s="5" t="inlineStr">
        <is>
          <t>Totalmente nublado</t>
        </is>
      </c>
      <c r="D5" s="15" t="n">
        <v>3</v>
      </c>
      <c r="E5" s="7" t="inlineStr">
        <is>
          <t>Final do verão</t>
        </is>
      </c>
    </row>
    <row r="6">
      <c r="A6" s="9" t="inlineStr">
        <is>
          <t>Abril</t>
        </is>
      </c>
      <c r="B6" s="30" t="n">
        <v>25.2</v>
      </c>
      <c r="C6" s="9" t="inlineStr">
        <is>
          <t>Totalmente nublado</t>
        </is>
      </c>
      <c r="D6" s="17" t="n">
        <v>3</v>
      </c>
      <c r="E6" s="11" t="inlineStr">
        <is>
          <t>Outono ameno</t>
        </is>
      </c>
    </row>
    <row r="7">
      <c r="A7" s="5" t="inlineStr">
        <is>
          <t>Maio</t>
        </is>
      </c>
      <c r="B7" s="29" t="n">
        <v>23.8</v>
      </c>
      <c r="C7" s="5" t="inlineStr">
        <is>
          <t>Totalmente nublado</t>
        </is>
      </c>
      <c r="D7" s="15" t="n">
        <v>3</v>
      </c>
      <c r="E7" s="7" t="inlineStr">
        <is>
          <t>Clima agradável</t>
        </is>
      </c>
    </row>
    <row r="8">
      <c r="A8" s="9" t="inlineStr">
        <is>
          <t>Junho</t>
        </is>
      </c>
      <c r="B8" s="30" t="n">
        <v>21.4</v>
      </c>
      <c r="C8" s="9" t="inlineStr">
        <is>
          <t>Totalmente nublado</t>
        </is>
      </c>
      <c r="D8" s="17" t="n">
        <v>3</v>
      </c>
      <c r="E8" s="11" t="inlineStr">
        <is>
          <t>Início do inverno</t>
        </is>
      </c>
    </row>
    <row r="9">
      <c r="A9" s="5" t="inlineStr">
        <is>
          <t>Julho</t>
        </is>
      </c>
      <c r="B9" s="29" t="n">
        <v>20.8</v>
      </c>
      <c r="C9" s="5" t="inlineStr">
        <is>
          <t>Totalmente nublado</t>
        </is>
      </c>
      <c r="D9" s="15" t="n">
        <v>3</v>
      </c>
      <c r="E9" s="7" t="inlineStr">
        <is>
          <t>Mês mais frio</t>
        </is>
      </c>
    </row>
    <row r="10">
      <c r="A10" s="9" t="inlineStr">
        <is>
          <t>Agosto</t>
        </is>
      </c>
      <c r="B10" s="30" t="n">
        <v>21.9</v>
      </c>
      <c r="C10" s="9" t="inlineStr">
        <is>
          <t>Totalmente nublado</t>
        </is>
      </c>
      <c r="D10" s="17" t="n">
        <v>3</v>
      </c>
      <c r="E10" s="11" t="inlineStr">
        <is>
          <t>Fim do inverno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8" customWidth="1" min="4" max="4"/>
    <col width="10" customWidth="1" min="5" max="5"/>
    <col width="24" customWidth="1" min="6" max="6"/>
    <col width="14" customWidth="1" min="7" max="7"/>
  </cols>
  <sheetData>
    <row r="1" ht="28" customHeight="1">
      <c r="A1" s="13" t="inlineStr">
        <is>
          <t>Feriados Nacionais do Brasil — 2024 com Dados Climáticos</t>
        </is>
      </c>
    </row>
    <row r="2">
      <c r="A2" s="14" t="inlineStr">
        <is>
          <t>Data</t>
        </is>
      </c>
      <c r="B2" s="14" t="inlineStr">
        <is>
          <t>Feriado</t>
        </is>
      </c>
      <c r="C2" s="14" t="inlineStr">
        <is>
          <t>Dia da Semana</t>
        </is>
      </c>
      <c r="D2" s="14" t="inlineStr">
        <is>
          <t>Temp. Média (°C)</t>
        </is>
      </c>
      <c r="E2" s="14" t="inlineStr">
        <is>
          <t>Cód. WMO</t>
        </is>
      </c>
      <c r="F2" s="14" t="inlineStr">
        <is>
          <t>Condição</t>
        </is>
      </c>
      <c r="G2" s="14" t="inlineStr">
        <is>
          <t>Aproveitável?</t>
        </is>
      </c>
    </row>
    <row r="3">
      <c r="A3" s="15" t="inlineStr">
        <is>
          <t>01/01/2024</t>
        </is>
      </c>
      <c r="B3" s="5" t="inlineStr">
        <is>
          <t>Confraternização Universal</t>
        </is>
      </c>
      <c r="C3" s="15" t="inlineStr">
        <is>
          <t>Segunda</t>
        </is>
      </c>
      <c r="D3" s="5" t="n">
        <v>27</v>
      </c>
      <c r="E3" s="15" t="n">
        <v>3</v>
      </c>
      <c r="F3" s="5" t="inlineStr">
        <is>
          <t>Totalmente nublado</t>
        </is>
      </c>
      <c r="G3" s="31" t="inlineStr">
        <is>
          <t>Não</t>
        </is>
      </c>
    </row>
    <row r="4">
      <c r="A4" s="17" t="inlineStr">
        <is>
          <t>12/02/2024</t>
        </is>
      </c>
      <c r="B4" s="9" t="inlineStr">
        <is>
          <t>Carnaval</t>
        </is>
      </c>
      <c r="C4" s="17" t="inlineStr">
        <is>
          <t>Segunda</t>
        </is>
      </c>
      <c r="D4" s="9" t="n">
        <v>28.5</v>
      </c>
      <c r="E4" s="17" t="n">
        <v>2</v>
      </c>
      <c r="F4" s="9" t="inlineStr">
        <is>
          <t>Parcialmente nublado</t>
        </is>
      </c>
      <c r="G4" s="32" t="inlineStr">
        <is>
          <t>Sim</t>
        </is>
      </c>
    </row>
    <row r="5">
      <c r="A5" s="15" t="inlineStr">
        <is>
          <t>13/02/2024</t>
        </is>
      </c>
      <c r="B5" s="5" t="inlineStr">
        <is>
          <t>Carnaval (terça)</t>
        </is>
      </c>
      <c r="C5" s="15" t="inlineStr">
        <is>
          <t>Terça</t>
        </is>
      </c>
      <c r="D5" s="5" t="n">
        <v>29</v>
      </c>
      <c r="E5" s="15" t="n">
        <v>1</v>
      </c>
      <c r="F5" s="5" t="inlineStr">
        <is>
          <t>Principalmente limpo</t>
        </is>
      </c>
      <c r="G5" s="32" t="inlineStr">
        <is>
          <t>Sim</t>
        </is>
      </c>
    </row>
    <row r="6">
      <c r="A6" s="17" t="inlineStr">
        <is>
          <t>29/03/2024</t>
        </is>
      </c>
      <c r="B6" s="9" t="inlineStr">
        <is>
          <t>Sexta-feira Santa</t>
        </is>
      </c>
      <c r="C6" s="17" t="inlineStr">
        <is>
          <t>Sexta</t>
        </is>
      </c>
      <c r="D6" s="9" t="n">
        <v>25.8</v>
      </c>
      <c r="E6" s="17" t="n">
        <v>3</v>
      </c>
      <c r="F6" s="9" t="inlineStr">
        <is>
          <t>Totalmente nublado</t>
        </is>
      </c>
      <c r="G6" s="31" t="inlineStr">
        <is>
          <t>Não</t>
        </is>
      </c>
    </row>
    <row r="7">
      <c r="A7" s="15" t="inlineStr">
        <is>
          <t>21/04/2024</t>
        </is>
      </c>
      <c r="B7" s="5" t="inlineStr">
        <is>
          <t>Tiradentes</t>
        </is>
      </c>
      <c r="C7" s="15" t="inlineStr">
        <is>
          <t>Domingo</t>
        </is>
      </c>
      <c r="D7" s="5" t="n">
        <v>24.6</v>
      </c>
      <c r="E7" s="15" t="n">
        <v>3</v>
      </c>
      <c r="F7" s="5" t="inlineStr">
        <is>
          <t>Totalmente nublado</t>
        </is>
      </c>
      <c r="G7" s="31" t="inlineStr">
        <is>
          <t>Não</t>
        </is>
      </c>
    </row>
    <row r="8">
      <c r="A8" s="17" t="inlineStr">
        <is>
          <t>01/05/2024</t>
        </is>
      </c>
      <c r="B8" s="9" t="inlineStr">
        <is>
          <t>Dia do Trabalhador</t>
        </is>
      </c>
      <c r="C8" s="17" t="inlineStr">
        <is>
          <t>Quarta</t>
        </is>
      </c>
      <c r="D8" s="9" t="n">
        <v>27.3</v>
      </c>
      <c r="E8" s="17" t="n">
        <v>1</v>
      </c>
      <c r="F8" s="9" t="inlineStr">
        <is>
          <t>Principalmente limpo</t>
        </is>
      </c>
      <c r="G8" s="32" t="inlineStr">
        <is>
          <t>Sim</t>
        </is>
      </c>
    </row>
    <row r="9">
      <c r="A9" s="15" t="inlineStr">
        <is>
          <t>30/05/2024</t>
        </is>
      </c>
      <c r="B9" s="5" t="inlineStr">
        <is>
          <t>Corpus Christi</t>
        </is>
      </c>
      <c r="C9" s="15" t="inlineStr">
        <is>
          <t>Quinta</t>
        </is>
      </c>
      <c r="D9" s="5" t="n">
        <v>23.2</v>
      </c>
      <c r="E9" s="15" t="n">
        <v>3</v>
      </c>
      <c r="F9" s="5" t="inlineStr">
        <is>
          <t>Totalmente nublado</t>
        </is>
      </c>
      <c r="G9" s="31" t="inlineStr">
        <is>
          <t>Não</t>
        </is>
      </c>
    </row>
    <row r="10">
      <c r="A10" s="17" t="inlineStr">
        <is>
          <t>07/09/2024</t>
        </is>
      </c>
      <c r="B10" s="9" t="inlineStr">
        <is>
          <t>Independência do Brasil</t>
        </is>
      </c>
      <c r="C10" s="17" t="inlineStr">
        <is>
          <t>Sábado</t>
        </is>
      </c>
      <c r="D10" s="9" t="n"/>
      <c r="E10" s="17" t="n"/>
      <c r="F10" s="9" t="inlineStr">
        <is>
          <t>Sem dados (pós ago)</t>
        </is>
      </c>
      <c r="G10" s="17" t="inlineStr">
        <is>
          <t>—</t>
        </is>
      </c>
    </row>
    <row r="11">
      <c r="A11" s="15" t="inlineStr">
        <is>
          <t>12/10/2024</t>
        </is>
      </c>
      <c r="B11" s="5" t="inlineStr">
        <is>
          <t>Nossa Sra. Aparecida</t>
        </is>
      </c>
      <c r="C11" s="15" t="inlineStr">
        <is>
          <t>Sábado</t>
        </is>
      </c>
      <c r="D11" s="5" t="n"/>
      <c r="E11" s="15" t="n"/>
      <c r="F11" s="5" t="inlineStr">
        <is>
          <t>Sem dados (pós ago)</t>
        </is>
      </c>
      <c r="G11" s="15" t="inlineStr">
        <is>
          <t>—</t>
        </is>
      </c>
    </row>
    <row r="12">
      <c r="A12" s="17" t="inlineStr">
        <is>
          <t>02/11/2024</t>
        </is>
      </c>
      <c r="B12" s="9" t="inlineStr">
        <is>
          <t>Finados</t>
        </is>
      </c>
      <c r="C12" s="17" t="inlineStr">
        <is>
          <t>Sábado</t>
        </is>
      </c>
      <c r="D12" s="9" t="n"/>
      <c r="E12" s="17" t="n"/>
      <c r="F12" s="9" t="inlineStr">
        <is>
          <t>Sem dados (pós ago)</t>
        </is>
      </c>
      <c r="G12" s="17" t="inlineStr">
        <is>
          <t>—</t>
        </is>
      </c>
    </row>
    <row r="13">
      <c r="A13" s="15" t="inlineStr">
        <is>
          <t>15/11/2024</t>
        </is>
      </c>
      <c r="B13" s="5" t="inlineStr">
        <is>
          <t>Proclamação da República</t>
        </is>
      </c>
      <c r="C13" s="15" t="inlineStr">
        <is>
          <t>Sexta</t>
        </is>
      </c>
      <c r="D13" s="5" t="n"/>
      <c r="E13" s="15" t="n"/>
      <c r="F13" s="5" t="inlineStr">
        <is>
          <t>Sem dados (pós ago)</t>
        </is>
      </c>
      <c r="G13" s="15" t="inlineStr">
        <is>
          <t>—</t>
        </is>
      </c>
    </row>
    <row r="14">
      <c r="A14" s="17" t="inlineStr">
        <is>
          <t>20/11/2024</t>
        </is>
      </c>
      <c r="B14" s="9" t="inlineStr">
        <is>
          <t>Consciência Negra</t>
        </is>
      </c>
      <c r="C14" s="17" t="inlineStr">
        <is>
          <t>Quarta</t>
        </is>
      </c>
      <c r="D14" s="9" t="n"/>
      <c r="E14" s="17" t="n"/>
      <c r="F14" s="9" t="inlineStr">
        <is>
          <t>Sem dados (pós ago)</t>
        </is>
      </c>
      <c r="G14" s="17" t="inlineStr">
        <is>
          <t>—</t>
        </is>
      </c>
    </row>
    <row r="15">
      <c r="A15" s="15" t="inlineStr">
        <is>
          <t>25/12/2024</t>
        </is>
      </c>
      <c r="B15" s="5" t="inlineStr">
        <is>
          <t>Natal</t>
        </is>
      </c>
      <c r="C15" s="15" t="inlineStr">
        <is>
          <t>Quarta</t>
        </is>
      </c>
      <c r="D15" s="5" t="n"/>
      <c r="E15" s="15" t="n"/>
      <c r="F15" s="5" t="inlineStr">
        <is>
          <t>Sem dados (pós ago)</t>
        </is>
      </c>
      <c r="G15" s="15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2026-02-25T15:51:27Z</dcterms:created>
  <dcterms:modified xmlns:dcterms="http://purl.org/dc/terms/" xmlns:xsi="http://www.w3.org/2001/XMLSchema-instance" xsi:type="dcterms:W3CDTF">2026-02-25T15:51:27Z</dcterms:modified>
</cp:coreProperties>
</file>